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13CB3486-A4A5-43F3-8FA6-ADBB1C484AF2}" xr6:coauthVersionLast="47" xr6:coauthVersionMax="47" xr10:uidLastSave="{00000000-0000-0000-0000-000000000000}"/>
  <bookViews>
    <workbookView xWindow="-110" yWindow="-110" windowWidth="19420" windowHeight="10300" firstSheet="1" activeTab="6" xr2:uid="{A532BCBD-F1A7-4D75-BABA-2B4789CC4B06}"/>
  </bookViews>
  <sheets>
    <sheet name="Total facturi pe partener" sheetId="4" r:id="rId1"/>
    <sheet name="Achizitii vs Vanzari" sheetId="5" r:id="rId2"/>
    <sheet name="Facturi achitate" sheetId="6" r:id="rId3"/>
    <sheet name="TVA pe tip" sheetId="7" r:id="rId4"/>
    <sheet name="Facturi" sheetId="1" r:id="rId5"/>
    <sheet name="Total" sheetId="2" r:id="rId6"/>
    <sheet name="Parteneri" sheetId="3" r:id="rId7"/>
  </sheets>
  <definedNames>
    <definedName name="_xlnm._FilterDatabase" localSheetId="4" hidden="1">Facturi!$A$2:$L$2</definedName>
    <definedName name="Slicer_Achitat">#N/A</definedName>
    <definedName name="Slicer_Partener">#N/A</definedName>
    <definedName name="Slicer_Tip">#N/A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2" i="1" l="1"/>
  <c r="F2" i="1"/>
  <c r="F3" i="1"/>
  <c r="F4" i="1"/>
  <c r="F5" i="1"/>
  <c r="F6" i="1"/>
  <c r="E5" i="1"/>
  <c r="E3" i="1"/>
  <c r="E4" i="1"/>
  <c r="E6" i="1"/>
  <c r="H2" i="2"/>
  <c r="G2" i="2"/>
  <c r="B2" i="2"/>
  <c r="A2" i="2"/>
  <c r="J3" i="1"/>
  <c r="K3" i="1" s="1"/>
  <c r="F2" i="2" s="1"/>
  <c r="J4" i="1"/>
  <c r="K4" i="1" s="1"/>
  <c r="J5" i="1"/>
  <c r="K5" i="1" s="1"/>
  <c r="J6" i="1"/>
  <c r="K6" i="1" s="1"/>
  <c r="J2" i="1"/>
  <c r="C2" i="2" l="1"/>
  <c r="K2" i="1"/>
  <c r="E2" i="2" l="1"/>
  <c r="D2" i="2"/>
</calcChain>
</file>

<file path=xl/sharedStrings.xml><?xml version="1.0" encoding="utf-8"?>
<sst xmlns="http://schemas.openxmlformats.org/spreadsheetml/2006/main" count="75" uniqueCount="49">
  <si>
    <t>Nr.</t>
  </si>
  <si>
    <t>Data</t>
  </si>
  <si>
    <t>Tip</t>
  </si>
  <si>
    <t>Partener</t>
  </si>
  <si>
    <t>Nr. Factura</t>
  </si>
  <si>
    <t>Baza(lei)</t>
  </si>
  <si>
    <t>TVA %</t>
  </si>
  <si>
    <t>TVA(lei)</t>
  </si>
  <si>
    <t>Total lei</t>
  </si>
  <si>
    <t>Achitat</t>
  </si>
  <si>
    <t>Achizitie</t>
  </si>
  <si>
    <t>Vanzare</t>
  </si>
  <si>
    <t>03.07.2026</t>
  </si>
  <si>
    <t>04.07.2026</t>
  </si>
  <si>
    <t>05.07.2026</t>
  </si>
  <si>
    <t>01.07.2026</t>
  </si>
  <si>
    <t>02.07.2026</t>
  </si>
  <si>
    <t>XYZ SRL</t>
  </si>
  <si>
    <t>ABC SRL</t>
  </si>
  <si>
    <t>CDE SRL</t>
  </si>
  <si>
    <t>IT Solutions SRL</t>
  </si>
  <si>
    <t>Delta SRL</t>
  </si>
  <si>
    <t>Da</t>
  </si>
  <si>
    <t>Nu</t>
  </si>
  <si>
    <t>Numar facturi</t>
  </si>
  <si>
    <t>Total Baza</t>
  </si>
  <si>
    <t>Total TVA</t>
  </si>
  <si>
    <t>Total facturi</t>
  </si>
  <si>
    <t>Total Achizitii</t>
  </si>
  <si>
    <t>Total Vanzari</t>
  </si>
  <si>
    <t>Facturi Achitate</t>
  </si>
  <si>
    <t>Facturi neachitate</t>
  </si>
  <si>
    <t>CIF</t>
  </si>
  <si>
    <t>Oras</t>
  </si>
  <si>
    <t>RO12345678</t>
  </si>
  <si>
    <t>Cluj-Napoca</t>
  </si>
  <si>
    <t>RO87654321</t>
  </si>
  <si>
    <t>RO99887766</t>
  </si>
  <si>
    <t>Timisoara</t>
  </si>
  <si>
    <t>RO11223344</t>
  </si>
  <si>
    <t>Iasi</t>
  </si>
  <si>
    <t>RO55667788</t>
  </si>
  <si>
    <t>Brasov</t>
  </si>
  <si>
    <t>Constanta</t>
  </si>
  <si>
    <t>Row Labels</t>
  </si>
  <si>
    <t>Grand Total</t>
  </si>
  <si>
    <t>Sum of Total lei</t>
  </si>
  <si>
    <t>Sum of Nr.</t>
  </si>
  <si>
    <t>Sum of TVA(lei)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</si>
</sst>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xf>
    <xf numFmtId="4" fontId="0" fillId="0" borderId="0" xfId="0" applyNumberFormat="1"/>
    <xf numFmtId="4" fontId="1" fillId="2" borderId="0" xfId="0" applyNumberFormat="1" applyFont="1" applyFill="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0">
    <dxf>
      <font>
        <color rgb="FF9C0006"/>
      </font>
      <fill>
        <patternFill>
          <bgColor rgb="FFFFC7CE"/>
        </patternFill>
      </fill>
    </dxf>
    <dxf>
      <font>
        <color rgb="FF006100"/>
      </font>
      <fill>
        <patternFill>
          <bgColor rgb="FFC6EFCE"/>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4"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theme="4"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4" formatCode="#,##0.00"/>
      <fill>
        <patternFill patternType="solid">
          <fgColor indexed="64"/>
          <bgColor theme="4"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4" formatCode="#,##0.00"/>
      <fill>
        <patternFill patternType="solid">
          <fgColor indexed="64"/>
          <bgColor theme="4"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4" formatCode="#,##0.00"/>
      <fill>
        <patternFill patternType="solid">
          <fgColor indexed="64"/>
          <bgColor theme="4"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4"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theme="4"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theme="4"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4"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4"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4"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4"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4" tint="0.79998168889431442"/>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[RegistruFacturi.xlsx]Total facturi pe partener!PivotTable1</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facturi pe partener'!$B$3</c:f>
              <c:strCache>
                <c:ptCount val="1"/>
                <c:pt idx="0">
                  <c:v>Total</c:v>
                </c:pt>
              </c:strCache>
            </c:strRef>
          </c:tx>
          <c:spPr>
            <a:solidFill>
              <a:schemeClr val="accent1"/>
            </a:solidFill>
            <a:ln>
              <a:noFill/>
            </a:ln>
            <a:effectLst/>
          </c:spPr>
          <c:invertIfNegative val="0"/>
          <c:cat>
            <c:strRef>
              <c:f>'Total facturi pe partener'!$A$4:$A$5</c:f>
              <c:strCache>
                <c:ptCount val="1"/>
                <c:pt idx="0">
                  <c:v>Delta SRL</c:v>
                </c:pt>
              </c:strCache>
            </c:strRef>
          </c:cat>
          <c:val>
            <c:numRef>
              <c:f>'Total facturi pe partener'!$B$4:$B$5</c:f>
              <c:numCache>
                <c:formatCode>General</c:formatCode>
                <c:ptCount val="1"/>
                <c:pt idx="0">
                  <c:v>4998</c:v>
                </c:pt>
              </c:numCache>
            </c:numRef>
          </c:val>
          <c:extLst>
            <c:ext xmlns:c16="http://schemas.microsoft.com/office/drawing/2014/chart" uri="{C3380CC4-5D6E-409C-BE32-E72D297353CC}">
              <c16:uniqueId val="{00000000-62C1-4926-B20C-AC81CC6EB6C9}"/>
            </c:ext>
          </c:extLst>
        </c:ser>
        <c:dLbls>
          <c:showLegendKey val="0"/>
          <c:showVal val="0"/>
          <c:showCatName val="0"/>
          <c:showSerName val="0"/>
          <c:showPercent val="0"/>
          <c:showBubbleSize val="0"/>
        </c:dLbls>
        <c:gapWidth val="219"/>
        <c:overlap val="-27"/>
        <c:axId val="1110983887"/>
        <c:axId val="1110969007"/>
      </c:barChart>
      <c:catAx>
        <c:axId val="1110983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969007"/>
        <c:crosses val="autoZero"/>
        <c:auto val="1"/>
        <c:lblAlgn val="ctr"/>
        <c:lblOffset val="100"/>
        <c:noMultiLvlLbl val="0"/>
      </c:catAx>
      <c:valAx>
        <c:axId val="1110969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983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[RegistruFacturi.xlsx]Total facturi pe partener!PivotTable1</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facturi pe partener'!$B$3</c:f>
              <c:strCache>
                <c:ptCount val="1"/>
                <c:pt idx="0">
                  <c:v>Total</c:v>
                </c:pt>
              </c:strCache>
            </c:strRef>
          </c:tx>
          <c:spPr>
            <a:solidFill>
              <a:schemeClr val="accent1"/>
            </a:solidFill>
            <a:ln>
              <a:noFill/>
            </a:ln>
            <a:effectLst/>
          </c:spPr>
          <c:invertIfNegative val="0"/>
          <c:cat>
            <c:strRef>
              <c:f>'Total facturi pe partener'!$A$4:$A$5</c:f>
              <c:strCache>
                <c:ptCount val="1"/>
                <c:pt idx="0">
                  <c:v>Delta SRL</c:v>
                </c:pt>
              </c:strCache>
            </c:strRef>
          </c:cat>
          <c:val>
            <c:numRef>
              <c:f>'Total facturi pe partener'!$B$4:$B$5</c:f>
              <c:numCache>
                <c:formatCode>General</c:formatCode>
                <c:ptCount val="1"/>
                <c:pt idx="0">
                  <c:v>4998</c:v>
                </c:pt>
              </c:numCache>
            </c:numRef>
          </c:val>
          <c:extLst>
            <c:ext xmlns:c16="http://schemas.microsoft.com/office/drawing/2014/chart" uri="{C3380CC4-5D6E-409C-BE32-E72D297353CC}">
              <c16:uniqueId val="{00000000-FB45-49F4-BF90-587A323C0265}"/>
            </c:ext>
          </c:extLst>
        </c:ser>
        <c:dLbls>
          <c:showLegendKey val="0"/>
          <c:showVal val="0"/>
          <c:showCatName val="0"/>
          <c:showSerName val="0"/>
          <c:showPercent val="0"/>
          <c:showBubbleSize val="0"/>
        </c:dLbls>
        <c:gapWidth val="182"/>
        <c:axId val="1424585503"/>
        <c:axId val="1424582623"/>
      </c:barChart>
      <c:catAx>
        <c:axId val="1424585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582623"/>
        <c:crosses val="autoZero"/>
        <c:auto val="1"/>
        <c:lblAlgn val="ctr"/>
        <c:lblOffset val="100"/>
        <c:noMultiLvlLbl val="0"/>
      </c:catAx>
      <c:valAx>
        <c:axId val="1424582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585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[RegistruFacturi.xlsx]Facturi achitate!PivotTable3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'Facturi achitate'!$B$3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DA-4EF8-BC2F-74EEE227AA7B}"/>
              </c:ext>
            </c:extLst>
          </c:dPt>
          <c:dPt>
            <c:idx val="1"/>
            <c:bubble3D val="0"/>
            <c:spPr>
              <a:solidFill>
                <a:schemeClr val="accent2"/>
              </a:solidFill>
              <a:ln w="19050">
                <a:solidFill>
                  <a:schemeClr val="lt1"/>
                </a:solidFill>
              </a:ln>
              <a:effectLst/>
            </c:spPr>
          </c:dPt>
          <c:cat>
            <c:strRef>
              <c:f>'Facturi achitate'!$A$4:$A$6</c:f>
              <c:strCache>
                <c:ptCount val="2"/>
                <c:pt idx="0">
                  <c:v>Da</c:v>
                </c:pt>
                <c:pt idx="1">
                  <c:v>Nu</c:v>
                </c:pt>
              </c:strCache>
            </c:strRef>
          </c:cat>
          <c:val>
            <c:numRef>
              <c:f>'Facturi achitate'!$B$4:$B$6</c:f>
              <c:numCache>
                <c:formatCode>General</c:formatCode>
                <c:ptCount val="2"/>
                <c:pt idx="0">
                  <c:v>9</c:v>
                </c:pt>
                <c:pt idx="1">
                  <c:v>6</c:v>
                </c:pt>
              </c:numCache>
            </c:numRef>
          </c:val>
          <c:extLst>
            <c:ext xmlns:c16="http://schemas.microsoft.com/office/drawing/2014/chart" uri="{C3380CC4-5D6E-409C-BE32-E72D297353CC}">
              <c16:uniqueId val="{00000000-BE14-4F5A-9FCE-EA1A7E680B9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101414</xdr:colOff>
      <xdr:row>2</xdr:row>
      <xdr:rowOff>39595</xdr:rowOff>
    </xdr:from>
    <xdr:to>
      <xdr:col>10</xdr:col>
      <xdr:colOff>403599</xdr:colOff>
      <xdr:row>17</xdr:row>
      <xdr:rowOff>20544</xdr:rowOff>
    </xdr:to>
    <xdr:graphicFrame macro="">
      <xdr:nvGraphicFramePr>
        <xdr:cNvPr id="4" name="Chart 3">
          <a:extLst>
            <a:ext uri="{FF2B5EF4-FFF2-40B4-BE49-F238E27FC236}">
              <a16:creationId xmlns:a16="http://schemas.microsoft.com/office/drawing/2014/main" id="{6CCAEB52-4EE9-F190-FB76-5476BAA65B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109258</xdr:colOff>
      <xdr:row>18</xdr:row>
      <xdr:rowOff>24466</xdr:rowOff>
    </xdr:from>
    <xdr:to>
      <xdr:col>10</xdr:col>
      <xdr:colOff>432361</xdr:colOff>
      <xdr:row>32</xdr:row>
      <xdr:rowOff>152960</xdr:rowOff>
    </xdr:to>
    <xdr:graphicFrame macro="">
      <xdr:nvGraphicFramePr>
        <xdr:cNvPr id="5" name="Chart 4">
          <a:extLst>
            <a:ext uri="{FF2B5EF4-FFF2-40B4-BE49-F238E27FC236}">
              <a16:creationId xmlns:a16="http://schemas.microsoft.com/office/drawing/2014/main" id="{5768705A-84C7-EB2B-97ED-14CBE90FFD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500529</xdr:colOff>
      <xdr:row>3</xdr:row>
      <xdr:rowOff>69850</xdr:rowOff>
    </xdr:from>
    <xdr:to>
      <xdr:col>14</xdr:col>
      <xdr:colOff>508374</xdr:colOff>
      <xdr:row>17</xdr:row>
      <xdr:rowOff>74516</xdr:rowOff>
    </xdr:to>
    <mc:AlternateContent xmlns:mc="http://schemas.openxmlformats.org/markup-compatibility/2006" xmlns:a14="http://schemas.microsoft.com/office/drawing/2010/main">
      <mc:Choice Requires="a14">
        <xdr:graphicFrame macro="">
          <xdr:nvGraphicFramePr>
            <xdr:cNvPr id="6" name="Tip">
              <a:extLst>
                <a:ext uri="{FF2B5EF4-FFF2-40B4-BE49-F238E27FC236}">
                  <a16:creationId xmlns:a16="http://schemas.microsoft.com/office/drawing/2014/main" id="{EDA4BBF9-9A3F-0F33-1903-FB9876523377}"/>
                </a:ext>
              </a:extLst>
            </xdr:cNvPr>
            <xdr:cNvGraphicFramePr/>
          </xdr:nvGraphicFramePr>
          <xdr:xfrm>
            <a:off x="0" y="0"/>
            <a:ext cx="0" cy="0"/>
          </xdr:xfrm>
          <a:graphic>
            <a:graphicData uri="http://schemas.microsoft.com/office/drawing/2010/slicer">
              <sle:slicer xmlns:sle="http://schemas.microsoft.com/office/drawing/2010/slicer" name="Tip"/>
            </a:graphicData>
          </a:graphic>
        </xdr:graphicFrame>
      </mc:Choice>
      <mc:Fallback xmlns="">
        <xdr:sp macro="" textlink="">
          <xdr:nvSpPr>
            <xdr:cNvPr id="0" name=""/>
            <xdr:cNvSpPr>
              <a:spLocks noTextEdit="1"/>
            </xdr:cNvSpPr>
          </xdr:nvSpPr>
          <xdr:spPr>
            <a:xfrm>
              <a:off x="7905750" y="630144"/>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70970</xdr:colOff>
      <xdr:row>3</xdr:row>
      <xdr:rowOff>97865</xdr:rowOff>
    </xdr:from>
    <xdr:to>
      <xdr:col>18</xdr:col>
      <xdr:colOff>78814</xdr:colOff>
      <xdr:row>17</xdr:row>
      <xdr:rowOff>102531</xdr:rowOff>
    </xdr:to>
    <mc:AlternateContent xmlns:mc="http://schemas.openxmlformats.org/markup-compatibility/2006" xmlns:a14="http://schemas.microsoft.com/office/drawing/2010/main">
      <mc:Choice Requires="a14">
        <xdr:graphicFrame macro="">
          <xdr:nvGraphicFramePr>
            <xdr:cNvPr id="7" name="Partener">
              <a:extLst>
                <a:ext uri="{FF2B5EF4-FFF2-40B4-BE49-F238E27FC236}">
                  <a16:creationId xmlns:a16="http://schemas.microsoft.com/office/drawing/2014/main" id="{DA7C2454-1109-FE32-1FF3-071B9670119C}"/>
                </a:ext>
              </a:extLst>
            </xdr:cNvPr>
            <xdr:cNvGraphicFramePr/>
          </xdr:nvGraphicFramePr>
          <xdr:xfrm>
            <a:off x="0" y="0"/>
            <a:ext cx="0" cy="0"/>
          </xdr:xfrm>
          <a:graphic>
            <a:graphicData uri="http://schemas.microsoft.com/office/drawing/2010/slicer">
              <sle:slicer xmlns:sle="http://schemas.microsoft.com/office/drawing/2010/slicer" name="Partener"/>
            </a:graphicData>
          </a:graphic>
        </xdr:graphicFrame>
      </mc:Choice>
      <mc:Fallback xmlns="">
        <xdr:sp macro="" textlink="">
          <xdr:nvSpPr>
            <xdr:cNvPr id="0" name=""/>
            <xdr:cNvSpPr>
              <a:spLocks noTextEdit="1"/>
            </xdr:cNvSpPr>
          </xdr:nvSpPr>
          <xdr:spPr>
            <a:xfrm>
              <a:off x="9904132" y="658159"/>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192367</xdr:colOff>
      <xdr:row>3</xdr:row>
      <xdr:rowOff>88527</xdr:rowOff>
    </xdr:from>
    <xdr:to>
      <xdr:col>21</xdr:col>
      <xdr:colOff>200211</xdr:colOff>
      <xdr:row>17</xdr:row>
      <xdr:rowOff>93193</xdr:rowOff>
    </xdr:to>
    <mc:AlternateContent xmlns:mc="http://schemas.openxmlformats.org/markup-compatibility/2006" xmlns:a14="http://schemas.microsoft.com/office/drawing/2010/main">
      <mc:Choice Requires="a14">
        <xdr:graphicFrame macro="">
          <xdr:nvGraphicFramePr>
            <xdr:cNvPr id="8" name="Achitat">
              <a:extLst>
                <a:ext uri="{FF2B5EF4-FFF2-40B4-BE49-F238E27FC236}">
                  <a16:creationId xmlns:a16="http://schemas.microsoft.com/office/drawing/2014/main" id="{EFC7104D-49D3-3AD9-72F3-FFD11C518EE4}"/>
                </a:ext>
              </a:extLst>
            </xdr:cNvPr>
            <xdr:cNvGraphicFramePr/>
          </xdr:nvGraphicFramePr>
          <xdr:xfrm>
            <a:off x="0" y="0"/>
            <a:ext cx="0" cy="0"/>
          </xdr:xfrm>
          <a:graphic>
            <a:graphicData uri="http://schemas.microsoft.com/office/drawing/2010/slicer">
              <sle:slicer xmlns:sle="http://schemas.microsoft.com/office/drawing/2010/slicer" name="Achitat"/>
            </a:graphicData>
          </a:graphic>
        </xdr:graphicFrame>
      </mc:Choice>
      <mc:Fallback xmlns="">
        <xdr:sp macro="" textlink="">
          <xdr:nvSpPr>
            <xdr:cNvPr id="0" name=""/>
            <xdr:cNvSpPr>
              <a:spLocks noTextEdit="1"/>
            </xdr:cNvSpPr>
          </xdr:nvSpPr>
          <xdr:spPr>
            <a:xfrm>
              <a:off x="11846485" y="648821"/>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73025</xdr:colOff>
      <xdr:row>2</xdr:row>
      <xdr:rowOff>12700</xdr:rowOff>
    </xdr:from>
    <xdr:to>
      <xdr:col>10</xdr:col>
      <xdr:colOff>377825</xdr:colOff>
      <xdr:row>16</xdr:row>
      <xdr:rowOff>177800</xdr:rowOff>
    </xdr:to>
    <xdr:graphicFrame macro="">
      <xdr:nvGraphicFramePr>
        <xdr:cNvPr id="2" name="Chart 1">
          <a:extLst>
            <a:ext uri="{FF2B5EF4-FFF2-40B4-BE49-F238E27FC236}">
              <a16:creationId xmlns:a16="http://schemas.microsoft.com/office/drawing/2014/main" id="{D73CAB56-BE39-A084-327D-A18C79BA20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21.766480208331" createdVersion="8" refreshedVersion="8" minRefreshableVersion="3" recordCount="5" xr:uid="{CE436BDF-C0B0-4434-9C7F-C75239900A16}">
  <cacheSource type="worksheet">
    <worksheetSource name="Facturi"/>
  </cacheSource>
  <cacheFields count="12">
    <cacheField name="Nr." numFmtId="0">
      <sharedItems containsSemiMixedTypes="0" containsString="0" containsNumber="1" containsInteger="1" minValue="1" maxValue="5"/>
    </cacheField>
    <cacheField name="Data" numFmtId="0">
      <sharedItems/>
    </cacheField>
    <cacheField name="Tip" numFmtId="0">
      <sharedItems count="2">
        <s v="Achizitie"/>
        <s v="Vanzare"/>
      </sharedItems>
    </cacheField>
    <cacheField name="Partener" numFmtId="0">
      <sharedItems count="5">
        <s v="XYZ SRL"/>
        <s v="ABC SRL"/>
        <s v="CDE SRL"/>
        <s v="IT Solutions SRL"/>
        <s v="Delta SRL"/>
      </sharedItems>
    </cacheField>
    <cacheField name="CIF" numFmtId="0">
      <sharedItems/>
    </cacheField>
    <cacheField name="Oras" numFmtId="0">
      <sharedItems/>
    </cacheField>
    <cacheField name="Nr. Factura" numFmtId="0">
      <sharedItems containsSemiMixedTypes="0" containsString="0" containsNumber="1" containsInteger="1" minValue="1001" maxValue="2002"/>
    </cacheField>
    <cacheField name="Baza(lei)" numFmtId="4">
      <sharedItems containsSemiMixedTypes="0" containsString="0" containsNumber="1" containsInteger="1" minValue="300" maxValue="4200"/>
    </cacheField>
    <cacheField name="TVA %" numFmtId="4">
      <sharedItems containsSemiMixedTypes="0" containsString="0" containsNumber="1" minValue="0.09" maxValue="0.19"/>
    </cacheField>
    <cacheField name="TVA(lei)" numFmtId="4">
      <sharedItems containsSemiMixedTypes="0" containsString="0" containsNumber="1" minValue="57" maxValue="798"/>
    </cacheField>
    <cacheField name="Total lei" numFmtId="0">
      <sharedItems containsSemiMixedTypes="0" containsString="0" containsNumber="1" minValue="357" maxValue="4998"/>
    </cacheField>
    <cacheField name="Achitat" numFmtId="0">
      <sharedItems count="2">
        <s v="Da"/>
        <s v="Nu"/>
      </sharedItems>
    </cacheField>
  </cacheFields>
  <extLst>
    <ext xmlns:x14="http://schemas.microsoft.com/office/spreadsheetml/2009/9/main" uri="{725AE2AE-9491-48be-B2B4-4EB974FC3084}">
      <x14:pivotCacheDefinition pivotCacheId="15520688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n v="1"/>
    <s v="01.07.2026"/>
    <x v="0"/>
    <x v="0"/>
    <s v="RO12345678"/>
    <s v="Cluj-Napoca"/>
    <n v="1001"/>
    <n v="1500"/>
    <n v="0.19"/>
    <n v="285"/>
    <n v="1785"/>
    <x v="0"/>
  </r>
  <r>
    <n v="2"/>
    <s v="02.07.2026"/>
    <x v="1"/>
    <x v="1"/>
    <s v="RO87654321"/>
    <s v="Constanta"/>
    <n v="2001"/>
    <n v="2500"/>
    <n v="0.19"/>
    <n v="475"/>
    <n v="2975"/>
    <x v="1"/>
  </r>
  <r>
    <n v="3"/>
    <s v="03.07.2026"/>
    <x v="0"/>
    <x v="2"/>
    <s v="RO99887766"/>
    <s v="Timisoara"/>
    <n v="1002"/>
    <n v="300"/>
    <n v="0.19"/>
    <n v="57"/>
    <n v="357"/>
    <x v="0"/>
  </r>
  <r>
    <n v="4"/>
    <s v="04.07.2026"/>
    <x v="1"/>
    <x v="3"/>
    <s v="RO11223344"/>
    <s v="Iasi"/>
    <n v="2002"/>
    <n v="850"/>
    <n v="0.09"/>
    <n v="76.5"/>
    <n v="926.5"/>
    <x v="1"/>
  </r>
  <r>
    <n v="5"/>
    <s v="05.07.2026"/>
    <x v="0"/>
    <x v="4"/>
    <s v="RO55667788"/>
    <s v="Brasov"/>
    <n v="1003"/>
    <n v="4200"/>
    <n v="0.19"/>
    <n v="798"/>
    <n v="499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4F0F77-0A24-46DD-A027-9CE552E87D3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5" firstHeaderRow="1" firstDataRow="1" firstDataCol="1"/>
  <pivotFields count="12">
    <pivotField showAll="0"/>
    <pivotField showAll="0"/>
    <pivotField showAll="0">
      <items count="3">
        <item x="0"/>
        <item h="1" x="1"/>
        <item t="default"/>
      </items>
    </pivotField>
    <pivotField axis="axisRow" showAll="0">
      <items count="6">
        <item h="1" x="1"/>
        <item h="1" x="2"/>
        <item x="4"/>
        <item h="1" x="3"/>
        <item h="1" x="0"/>
        <item t="default"/>
      </items>
    </pivotField>
    <pivotField showAll="0"/>
    <pivotField showAll="0"/>
    <pivotField showAll="0"/>
    <pivotField numFmtId="4" showAll="0"/>
    <pivotField numFmtId="4" showAll="0"/>
    <pivotField numFmtId="4" showAll="0"/>
    <pivotField dataField="1" showAll="0"/>
    <pivotField showAll="0">
      <items count="3">
        <item x="0"/>
        <item h="1" x="1"/>
        <item t="default"/>
      </items>
    </pivotField>
  </pivotFields>
  <rowFields count="1">
    <field x="3"/>
  </rowFields>
  <rowItems count="2">
    <i>
      <x v="2"/>
    </i>
    <i t="grand">
      <x/>
    </i>
  </rowItems>
  <colItems count="1">
    <i/>
  </colItems>
  <dataFields count="1">
    <dataField name="Sum of Total lei" fld="10" baseField="0" baseItem="0"/>
  </dataFields>
  <chartFormats count="2">
    <chartFormat chart="11"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49346C-CBF1-4D51-B37D-14CC0CC4323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12">
    <pivotField showAll="0"/>
    <pivotField showAll="0"/>
    <pivotField axis="axisRow" showAll="0">
      <items count="3">
        <item x="0"/>
        <item h="1" x="1"/>
        <item t="default"/>
      </items>
    </pivotField>
    <pivotField showAll="0"/>
    <pivotField showAll="0"/>
    <pivotField showAll="0"/>
    <pivotField showAll="0"/>
    <pivotField numFmtId="4" showAll="0"/>
    <pivotField numFmtId="4" showAll="0"/>
    <pivotField numFmtId="4" showAll="0"/>
    <pivotField dataField="1" showAll="0"/>
    <pivotField showAll="0"/>
  </pivotFields>
  <rowFields count="1">
    <field x="2"/>
  </rowFields>
  <rowItems count="2">
    <i>
      <x/>
    </i>
    <i t="grand">
      <x/>
    </i>
  </rowItems>
  <colItems count="1">
    <i/>
  </colItems>
  <dataFields count="1">
    <dataField name="Sum of Total lei"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58A41D-57C2-4450-80F6-D10281012F1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2">
    <pivotField dataField="1" showAll="0"/>
    <pivotField showAll="0"/>
    <pivotField showAll="0">
      <items count="3">
        <item x="0"/>
        <item h="1" x="1"/>
        <item t="default"/>
      </items>
    </pivotField>
    <pivotField showAll="0"/>
    <pivotField showAll="0"/>
    <pivotField showAll="0"/>
    <pivotField showAll="0"/>
    <pivotField numFmtId="4" showAll="0"/>
    <pivotField numFmtId="4" showAll="0"/>
    <pivotField numFmtId="4" showAll="0"/>
    <pivotField showAll="0"/>
    <pivotField axis="axisRow" showAll="0">
      <items count="3">
        <item x="0"/>
        <item x="1"/>
        <item t="default"/>
      </items>
    </pivotField>
  </pivotFields>
  <rowFields count="1">
    <field x="11"/>
  </rowFields>
  <rowItems count="3">
    <i>
      <x/>
    </i>
    <i>
      <x v="1"/>
    </i>
    <i t="grand">
      <x/>
    </i>
  </rowItems>
  <colItems count="1">
    <i/>
  </colItems>
  <dataFields count="1">
    <dataField name="Sum of Nr." fld="0" baseField="0" baseItem="0"/>
  </dataFields>
  <chartFormats count="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33C350-1123-49A4-A614-A008C4D7990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12">
    <pivotField showAll="0"/>
    <pivotField showAll="0"/>
    <pivotField axis="axisRow" showAll="0">
      <items count="3">
        <item x="0"/>
        <item h="1" x="1"/>
        <item t="default"/>
      </items>
    </pivotField>
    <pivotField showAll="0"/>
    <pivotField showAll="0"/>
    <pivotField showAll="0"/>
    <pivotField showAll="0"/>
    <pivotField numFmtId="4" showAll="0"/>
    <pivotField numFmtId="4" showAll="0"/>
    <pivotField dataField="1" numFmtId="4" showAll="0"/>
    <pivotField showAll="0"/>
    <pivotField showAll="0"/>
  </pivotFields>
  <rowFields count="1">
    <field x="2"/>
  </rowFields>
  <rowItems count="2">
    <i>
      <x/>
    </i>
    <i t="grand">
      <x/>
    </i>
  </rowItems>
  <colItems count="1">
    <i/>
  </colItems>
  <dataFields count="1">
    <dataField name="Sum of TVA(lei)" fld="9"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p" xr10:uid="{B863CB2E-D3BF-4204-A12A-7637AA438C4E}" sourceName="Tip">
  <pivotTables>
    <pivotTable tabId="4" name="PivotTable1"/>
  </pivotTables>
  <data>
    <tabular pivotCacheId="1552068868">
      <items count="2">
        <i x="0" s="1"/>
        <i x="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ener" xr10:uid="{9C16B4F2-D6C0-4E43-9FEB-129A5F1A13E5}" sourceName="Partener">
  <pivotTables>
    <pivotTable tabId="4" name="PivotTable1"/>
  </pivotTables>
  <data>
    <tabular pivotCacheId="1552068868">
      <items count="5">
        <i x="2"/>
        <i x="4" s="1"/>
        <i x="0"/>
        <i x="1" nd="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hitat" xr10:uid="{41BF5E7A-E4C8-4212-AB28-C972B5C2CF13}" sourceName="Achitat">
  <pivotTables>
    <pivotTable tabId="4" name="PivotTable1"/>
  </pivotTables>
  <data>
    <tabular pivotCacheId="1552068868">
      <items count="2">
        <i x="0" s="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p" xr10:uid="{7E8EE94C-FB41-49BC-AEBC-19142F00211B}" cache="Slicer_Tip" caption="Tip" rowHeight="251883"/>
  <slicer name="Partener" xr10:uid="{FF9D4ACD-8F40-4AAC-8D44-42979CEADDF7}" cache="Slicer_Partener" caption="Partener" rowHeight="251883"/>
  <slicer name="Achitat" xr10:uid="{FFD937A6-E7C5-4F5D-8439-8F80C16193C0}" cache="Slicer_Achitat" caption="Achitat"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98EA5A-0FE8-4CAD-9D6A-04F042EC5E35}" name="Facturi" displayName="Facturi" ref="A1:L6" totalsRowShown="0" dataDxfId="19">
  <autoFilter ref="A1:L6" xr:uid="{C298EA5A-0FE8-4CAD-9D6A-04F042EC5E35}"/>
  <tableColumns count="12">
    <tableColumn id="1" xr3:uid="{BCBE464D-C742-42C3-9A7A-FED8FB4D1B64}" name="Nr." dataDxfId="18"/>
    <tableColumn id="2" xr3:uid="{38BB32A0-9119-4E0D-8486-FFFE9F8A9627}" name="Data" dataDxfId="17"/>
    <tableColumn id="3" xr3:uid="{5DE48997-5DF0-4127-834E-CB63E698DE34}" name="Tip" dataDxfId="16"/>
    <tableColumn id="4" xr3:uid="{50332F65-726F-445B-A5E0-AFE563BEE4F5}" name="Partener" dataDxfId="15"/>
    <tableColumn id="12" xr3:uid="{4729F8E2-B158-478C-BEAE-5B3455C18514}" name="CIF" dataDxfId="14">
      <calculatedColumnFormula>_xlfn.XLOOKUP(Facturi[[#This Row],[Partener]],Parteneri[Partener],Parteneri[CIF])</calculatedColumnFormula>
    </tableColumn>
    <tableColumn id="13" xr3:uid="{FF02B584-CC16-40EA-A89A-1581471DCC25}" name="Oras" dataDxfId="13">
      <calculatedColumnFormula>_xlfn.XLOOKUP(Facturi[[#This Row],[Partener]],Parteneri[Partener],Parteneri[Oras])</calculatedColumnFormula>
    </tableColumn>
    <tableColumn id="5" xr3:uid="{504A9533-D2DC-41D0-B606-EEBA1DAC4068}" name="Nr. Factura" dataDxfId="12"/>
    <tableColumn id="6" xr3:uid="{D75D709F-1BE1-41A5-A064-1148D210A958}" name="Baza(lei)" dataDxfId="11"/>
    <tableColumn id="7" xr3:uid="{1DAC56AE-DF62-4CD2-A4CD-BDF083C907BC}" name="TVA %" dataDxfId="10"/>
    <tableColumn id="8" xr3:uid="{B350B4A5-7E5B-4B91-994A-4D6FBF80F456}" name="TVA(lei)" dataDxfId="9">
      <calculatedColumnFormula>Facturi[[#This Row],[Baza(lei)]]*Facturi[[#This Row],[TVA %]]</calculatedColumnFormula>
    </tableColumn>
    <tableColumn id="9" xr3:uid="{5922522F-7EA9-40EF-B057-F390AD7C86BC}" name="Total lei" dataDxfId="8">
      <calculatedColumnFormula>Facturi[[#This Row],[Baza(lei)]]+Facturi[[#This Row],[TVA(lei)]]</calculatedColumnFormula>
    </tableColumn>
    <tableColumn id="10" xr3:uid="{EE9AAB5F-7F5D-4215-9C11-B0A8F5A94DD1}" name="Achitat" dataDxf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364C79-8B17-4F99-8297-8EF431D92CBD}" name="Parteneri" displayName="Parteneri" ref="A1:C6" totalsRowShown="0" headerRowDxfId="6" dataDxfId="5">
  <autoFilter ref="A1:C6" xr:uid="{13364C79-8B17-4F99-8297-8EF431D92CBD}"/>
  <tableColumns count="3">
    <tableColumn id="1" xr3:uid="{91F9757C-D442-4619-87B7-140AFB81E58A}" name="Partener" dataDxfId="4"/>
    <tableColumn id="2" xr3:uid="{39F76A71-F019-4536-875C-4A6A9A676D18}" name="CIF" dataDxfId="3"/>
    <tableColumn id="3" xr3:uid="{9432D1A8-1428-422D-BCD9-AE77B7A2E401}" name="Ora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BAB8A-6987-4AC5-9205-7FCBD9E5EF00}">
  <dimension ref="A3:B5"/>
  <sheetViews>
    <sheetView zoomScale="68" workbookViewId="0">
      <selection activeCell="S13" sqref="S13"/>
    </sheetView>
  </sheetViews>
  <sheetFormatPr defaultRowHeight="14.5" x14ac:dyDescent="0.35"/>
  <cols>
    <col min="1" max="1" width="13.7265625" bestFit="1" customWidth="1"/>
    <col min="2" max="2" width="14" bestFit="1" customWidth="1"/>
  </cols>
  <sheetData>
    <row r="3" spans="1:2" x14ac:dyDescent="0.35">
      <c r="A3" s="5" t="s">
        <v>44</v>
      </c>
      <c r="B3" t="s">
        <v>46</v>
      </c>
    </row>
    <row r="4" spans="1:2" x14ac:dyDescent="0.35">
      <c r="A4" s="6" t="s">
        <v>21</v>
      </c>
      <c r="B4" s="7">
        <v>4998</v>
      </c>
    </row>
    <row r="5" spans="1:2" x14ac:dyDescent="0.35">
      <c r="A5" s="6" t="s">
        <v>45</v>
      </c>
      <c r="B5" s="7">
        <v>4998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3FD61-0BE2-43A1-BF49-2CA421A240D3}">
  <dimension ref="A3:B5"/>
  <sheetViews>
    <sheetView workbookViewId="0">
      <selection activeCell="N8" sqref="N8"/>
    </sheetView>
  </sheetViews>
  <sheetFormatPr defaultRowHeight="14.5" x14ac:dyDescent="0.35"/>
  <cols>
    <col min="1" max="1" width="12.453125" bestFit="1" customWidth="1"/>
    <col min="2" max="2" width="13.6328125" bestFit="1" customWidth="1"/>
  </cols>
  <sheetData>
    <row r="3" spans="1:2" x14ac:dyDescent="0.35">
      <c r="A3" s="5" t="s">
        <v>44</v>
      </c>
      <c r="B3" t="s">
        <v>46</v>
      </c>
    </row>
    <row r="4" spans="1:2" x14ac:dyDescent="0.35">
      <c r="A4" s="6" t="s">
        <v>10</v>
      </c>
      <c r="B4" s="7">
        <v>7140</v>
      </c>
    </row>
    <row r="5" spans="1:2" x14ac:dyDescent="0.35">
      <c r="A5" s="6" t="s">
        <v>45</v>
      </c>
      <c r="B5" s="7">
        <v>7140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2696D-20F7-4079-8AB4-23B5FECF87F2}">
  <dimension ref="A3:B6"/>
  <sheetViews>
    <sheetView workbookViewId="0">
      <selection activeCell="L3" sqref="L3"/>
    </sheetView>
  </sheetViews>
  <sheetFormatPr defaultRowHeight="14.5" x14ac:dyDescent="0.35"/>
  <cols>
    <col min="1" max="1" width="12.453125" bestFit="1" customWidth="1"/>
    <col min="2" max="2" width="9.453125" bestFit="1" customWidth="1"/>
  </cols>
  <sheetData>
    <row r="3" spans="1:2" x14ac:dyDescent="0.35">
      <c r="A3" s="5" t="s">
        <v>44</v>
      </c>
      <c r="B3" t="s">
        <v>47</v>
      </c>
    </row>
    <row r="4" spans="1:2" x14ac:dyDescent="0.35">
      <c r="A4" s="6" t="s">
        <v>22</v>
      </c>
      <c r="B4" s="7">
        <v>9</v>
      </c>
    </row>
    <row r="5" spans="1:2" x14ac:dyDescent="0.35">
      <c r="A5" s="6" t="s">
        <v>23</v>
      </c>
      <c r="B5" s="7">
        <v>6</v>
      </c>
    </row>
    <row r="6" spans="1:2" x14ac:dyDescent="0.35">
      <c r="A6" s="6" t="s">
        <v>45</v>
      </c>
      <c r="B6" s="7">
        <v>15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8A5FC-2E3E-4F3D-BB6F-6EAD16D38619}">
  <dimension ref="A3:B5"/>
  <sheetViews>
    <sheetView workbookViewId="0">
      <selection activeCell="D3" sqref="D3"/>
    </sheetView>
  </sheetViews>
  <sheetFormatPr defaultRowHeight="14.5" x14ac:dyDescent="0.35"/>
  <cols>
    <col min="1" max="1" width="12.453125" bestFit="1" customWidth="1"/>
    <col min="2" max="2" width="13.54296875" bestFit="1" customWidth="1"/>
  </cols>
  <sheetData>
    <row r="3" spans="1:2" x14ac:dyDescent="0.35">
      <c r="A3" s="5" t="s">
        <v>44</v>
      </c>
      <c r="B3" t="s">
        <v>48</v>
      </c>
    </row>
    <row r="4" spans="1:2" x14ac:dyDescent="0.35">
      <c r="A4" s="6" t="s">
        <v>10</v>
      </c>
      <c r="B4" s="2">
        <v>1140</v>
      </c>
    </row>
    <row r="5" spans="1:2" x14ac:dyDescent="0.35">
      <c r="A5" s="6" t="s">
        <v>45</v>
      </c>
      <c r="B5" s="2">
        <v>1140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68CAF-7856-4F95-9D62-3A6215B86329}">
  <dimension ref="A1:L6"/>
  <sheetViews>
    <sheetView workbookViewId="0">
      <selection activeCell="B5" sqref="B5"/>
    </sheetView>
  </sheetViews>
  <sheetFormatPr defaultRowHeight="14.5" x14ac:dyDescent="0.35"/>
  <cols>
    <col min="1" max="1" width="8.6328125" customWidth="1"/>
    <col min="2" max="2" width="13.81640625" customWidth="1"/>
    <col min="3" max="3" width="13.453125" customWidth="1"/>
    <col min="4" max="6" width="17.7265625" customWidth="1"/>
    <col min="7" max="7" width="12.1796875" customWidth="1"/>
    <col min="8" max="8" width="10.36328125" style="2" customWidth="1"/>
    <col min="9" max="9" width="8.7265625" style="2"/>
    <col min="10" max="10" width="9.26953125" style="2" customWidth="1"/>
    <col min="11" max="12" width="9.36328125" customWidth="1"/>
    <col min="19" max="19" width="14.6328125" customWidth="1"/>
  </cols>
  <sheetData>
    <row r="1" spans="1:12" x14ac:dyDescent="0.35">
      <c r="A1" t="s">
        <v>0</v>
      </c>
      <c r="B1" t="s">
        <v>1</v>
      </c>
      <c r="C1" t="s">
        <v>2</v>
      </c>
      <c r="D1" t="s">
        <v>3</v>
      </c>
      <c r="E1" t="s">
        <v>32</v>
      </c>
      <c r="F1" t="s">
        <v>33</v>
      </c>
      <c r="G1" t="s">
        <v>4</v>
      </c>
      <c r="H1" s="2" t="s">
        <v>5</v>
      </c>
      <c r="I1" s="2" t="s">
        <v>6</v>
      </c>
      <c r="J1" s="2" t="s">
        <v>7</v>
      </c>
      <c r="K1" t="s">
        <v>8</v>
      </c>
      <c r="L1" t="s">
        <v>9</v>
      </c>
    </row>
    <row r="2" spans="1:12" s="1" customFormat="1" ht="16.5" customHeight="1" x14ac:dyDescent="0.35">
      <c r="A2" s="1">
        <v>1</v>
      </c>
      <c r="B2" s="1" t="s">
        <v>15</v>
      </c>
      <c r="C2" s="1" t="s">
        <v>10</v>
      </c>
      <c r="D2" s="1" t="s">
        <v>17</v>
      </c>
      <c r="E2" s="1" t="str">
        <f>_xlfn.XLOOKUP(Facturi[[#This Row],[Partener]],Parteneri[Partener],Parteneri[CIF])</f>
        <v>RO12345678</v>
      </c>
      <c r="F2" s="1" t="str">
        <f>_xlfn.XLOOKUP(Facturi[[#This Row],[Partener]],Parteneri[Partener],Parteneri[Oras])</f>
        <v>Cluj-Napoca</v>
      </c>
      <c r="G2" s="1">
        <v>1001</v>
      </c>
      <c r="H2" s="3">
        <v>1500</v>
      </c>
      <c r="I2" s="3">
        <v>0.19</v>
      </c>
      <c r="J2" s="3">
        <f>Facturi[[#This Row],[Baza(lei)]]*Facturi[[#This Row],[TVA %]]</f>
        <v>285</v>
      </c>
      <c r="K2" s="1">
        <f>Facturi[[#This Row],[Baza(lei)]]+Facturi[[#This Row],[TVA(lei)]]</f>
        <v>1785</v>
      </c>
      <c r="L2" s="1" t="s">
        <v>22</v>
      </c>
    </row>
    <row r="3" spans="1:12" s="1" customFormat="1" ht="14" customHeight="1" x14ac:dyDescent="0.35">
      <c r="A3" s="1">
        <v>2</v>
      </c>
      <c r="B3" s="1" t="s">
        <v>16</v>
      </c>
      <c r="C3" s="1" t="s">
        <v>11</v>
      </c>
      <c r="D3" s="1" t="s">
        <v>18</v>
      </c>
      <c r="E3" s="1" t="str">
        <f>_xlfn.XLOOKUP(Facturi[[#This Row],[Partener]],Parteneri[Partener],Parteneri[CIF])</f>
        <v>RO87654321</v>
      </c>
      <c r="F3" s="1" t="str">
        <f>_xlfn.XLOOKUP(Facturi[[#This Row],[Partener]],Parteneri[Partener],Parteneri[Oras])</f>
        <v>Constanta</v>
      </c>
      <c r="G3" s="1">
        <v>2001</v>
      </c>
      <c r="H3" s="3">
        <v>2500</v>
      </c>
      <c r="I3" s="3">
        <v>0.19</v>
      </c>
      <c r="J3" s="3">
        <f>Facturi[[#This Row],[Baza(lei)]]*Facturi[[#This Row],[TVA %]]</f>
        <v>475</v>
      </c>
      <c r="K3" s="1">
        <f>Facturi[[#This Row],[Baza(lei)]]+Facturi[[#This Row],[TVA(lei)]]</f>
        <v>2975</v>
      </c>
      <c r="L3" s="1" t="s">
        <v>23</v>
      </c>
    </row>
    <row r="4" spans="1:12" s="1" customFormat="1" x14ac:dyDescent="0.35">
      <c r="A4" s="1">
        <v>3</v>
      </c>
      <c r="B4" s="1" t="s">
        <v>12</v>
      </c>
      <c r="C4" s="1" t="s">
        <v>10</v>
      </c>
      <c r="D4" s="1" t="s">
        <v>19</v>
      </c>
      <c r="E4" s="1" t="str">
        <f>_xlfn.XLOOKUP(Facturi[[#This Row],[Partener]],Parteneri[Partener],Parteneri[CIF])</f>
        <v>RO99887766</v>
      </c>
      <c r="F4" s="1" t="str">
        <f>_xlfn.XLOOKUP(Facturi[[#This Row],[Partener]],Parteneri[Partener],Parteneri[Oras])</f>
        <v>Timisoara</v>
      </c>
      <c r="G4" s="1">
        <v>1002</v>
      </c>
      <c r="H4" s="3">
        <v>300</v>
      </c>
      <c r="I4" s="3">
        <v>0.19</v>
      </c>
      <c r="J4" s="3">
        <f>Facturi[[#This Row],[Baza(lei)]]*Facturi[[#This Row],[TVA %]]</f>
        <v>57</v>
      </c>
      <c r="K4" s="1">
        <f>Facturi[[#This Row],[Baza(lei)]]+Facturi[[#This Row],[TVA(lei)]]</f>
        <v>357</v>
      </c>
      <c r="L4" s="1" t="s">
        <v>22</v>
      </c>
    </row>
    <row r="5" spans="1:12" s="1" customFormat="1" x14ac:dyDescent="0.35">
      <c r="A5" s="1">
        <v>4</v>
      </c>
      <c r="B5" s="1" t="s">
        <v>13</v>
      </c>
      <c r="C5" s="1" t="s">
        <v>11</v>
      </c>
      <c r="D5" s="1" t="s">
        <v>20</v>
      </c>
      <c r="E5" s="1" t="str">
        <f>_xlfn.XLOOKUP(Facturi[[#This Row],[Partener]],Parteneri[Partener],Parteneri[CIF])</f>
        <v>RO11223344</v>
      </c>
      <c r="F5" s="1" t="str">
        <f>_xlfn.XLOOKUP(Facturi[[#This Row],[Partener]],Parteneri[Partener],Parteneri[Oras])</f>
        <v>Iasi</v>
      </c>
      <c r="G5" s="1">
        <v>2002</v>
      </c>
      <c r="H5" s="3">
        <v>850</v>
      </c>
      <c r="I5" s="3">
        <v>0.09</v>
      </c>
      <c r="J5" s="3">
        <f>Facturi[[#This Row],[Baza(lei)]]*Facturi[[#This Row],[TVA %]]</f>
        <v>76.5</v>
      </c>
      <c r="K5" s="1">
        <f>Facturi[[#This Row],[Baza(lei)]]+Facturi[[#This Row],[TVA(lei)]]</f>
        <v>926.5</v>
      </c>
      <c r="L5" s="1" t="s">
        <v>23</v>
      </c>
    </row>
    <row r="6" spans="1:12" s="1" customFormat="1" x14ac:dyDescent="0.35">
      <c r="A6" s="1">
        <v>5</v>
      </c>
      <c r="B6" s="1" t="s">
        <v>14</v>
      </c>
      <c r="C6" s="1" t="s">
        <v>10</v>
      </c>
      <c r="D6" s="1" t="s">
        <v>21</v>
      </c>
      <c r="E6" s="1" t="str">
        <f>_xlfn.XLOOKUP(Facturi[[#This Row],[Partener]],Parteneri[Partener],Parteneri[CIF])</f>
        <v>RO55667788</v>
      </c>
      <c r="F6" s="1" t="str">
        <f>_xlfn.XLOOKUP(Facturi[[#This Row],[Partener]],Parteneri[Partener],Parteneri[Oras])</f>
        <v>Brasov</v>
      </c>
      <c r="G6" s="1">
        <v>1003</v>
      </c>
      <c r="H6" s="3">
        <v>4200</v>
      </c>
      <c r="I6" s="3">
        <v>0.19</v>
      </c>
      <c r="J6" s="3">
        <f>Facturi[[#This Row],[Baza(lei)]]*Facturi[[#This Row],[TVA %]]</f>
        <v>798</v>
      </c>
      <c r="K6" s="1">
        <f>Facturi[[#This Row],[Baza(lei)]]+Facturi[[#This Row],[TVA(lei)]]</f>
        <v>4998</v>
      </c>
      <c r="L6" s="1" t="s">
        <v>22</v>
      </c>
    </row>
  </sheetData>
  <phoneticPr fontId="2" type="noConversion"/>
  <conditionalFormatting sqref="L1:L1048576">
    <cfRule type="containsText" dxfId="1" priority="1" operator="containsText" text="Da">
      <formula>NOT(ISERROR(SEARCH("Da",L1)))</formula>
    </cfRule>
    <cfRule type="containsText" dxfId="0" priority="2" operator="containsText" text="Nu">
      <formula>NOT(ISERROR(SEARCH("Nu",L1)))</formula>
    </cfRule>
  </conditionalFormatting>
  <dataValidations count="3">
    <dataValidation type="list" allowBlank="1" showInputMessage="1" showErrorMessage="1" sqref="C1:C1048576" xr:uid="{A11B811B-56C6-43A3-BEFE-CEEE18B9F4BE}">
      <formula1>"Achizitie, Vanzare"</formula1>
    </dataValidation>
    <dataValidation type="list" allowBlank="1" showInputMessage="1" showErrorMessage="1" sqref="L1:L1048576" xr:uid="{4385E316-167D-4D5E-A05F-1D4AFDFA3668}">
      <formula1>"Da, Nu"</formula1>
    </dataValidation>
    <dataValidation showDropDown="1" showInputMessage="1" showErrorMessage="1" sqref="D3:D6" xr:uid="{0EE7B383-2AB3-469E-B7AB-B74B058CD6D4}"/>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D7B5D63-E31B-4526-81E8-AB0EA146A6BE}">
          <x14:formula1>
            <xm:f>Parteneri!$A$2:$A$6</xm:f>
          </x14:formula1>
          <xm:sqref>D1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E4A47-624C-4825-8B0A-20958A21FC36}">
  <dimension ref="A1:H2"/>
  <sheetViews>
    <sheetView workbookViewId="0">
      <selection activeCell="F8" sqref="F8"/>
    </sheetView>
  </sheetViews>
  <sheetFormatPr defaultRowHeight="14.5" x14ac:dyDescent="0.35"/>
  <cols>
    <col min="1" max="1" width="13.6328125" customWidth="1"/>
    <col min="2" max="2" width="11.453125" customWidth="1"/>
    <col min="4" max="4" width="12.453125" customWidth="1"/>
    <col min="5" max="5" width="12" customWidth="1"/>
    <col min="6" max="6" width="11.6328125" customWidth="1"/>
    <col min="7" max="7" width="13.453125" customWidth="1"/>
    <col min="8" max="8" width="16.1796875" customWidth="1"/>
  </cols>
  <sheetData>
    <row r="1" spans="1:8" x14ac:dyDescent="0.35">
      <c r="A1" t="s">
        <v>24</v>
      </c>
      <c r="B1" t="s">
        <v>25</v>
      </c>
      <c r="C1" t="s">
        <v>26</v>
      </c>
      <c r="D1" t="s">
        <v>27</v>
      </c>
      <c r="E1" t="s">
        <v>28</v>
      </c>
      <c r="F1" t="s">
        <v>29</v>
      </c>
      <c r="G1" t="s">
        <v>30</v>
      </c>
      <c r="H1" t="s">
        <v>31</v>
      </c>
    </row>
    <row r="2" spans="1:8" x14ac:dyDescent="0.35">
      <c r="A2">
        <f>COUNTA(Facturi[Nr.])</f>
        <v>5</v>
      </c>
      <c r="B2" s="2">
        <f>SUM(Facturi[Baza(lei)])</f>
        <v>9350</v>
      </c>
      <c r="C2" s="2">
        <f>SUM(Facturi[TVA(lei)])</f>
        <v>1691.5</v>
      </c>
      <c r="D2">
        <f>SUM(Facturi[Total lei])</f>
        <v>11041.5</v>
      </c>
      <c r="E2">
        <f>SUMIF(Facturi[Tip],"Achizitie",Facturi[Total lei])</f>
        <v>7140</v>
      </c>
      <c r="F2">
        <f>SUMIF(Facturi[Tip],"Vanzare",Facturi[Total lei])</f>
        <v>3901.5</v>
      </c>
      <c r="G2">
        <f>COUNTIF(Facturi[Achitat],"Da")</f>
        <v>3</v>
      </c>
      <c r="H2">
        <f>COUNTIF(Facturi[Achitat],"Nu")</f>
        <v>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2F1BD-8E47-43A6-B562-E4C6792C0D50}">
  <dimension ref="A1:C6"/>
  <sheetViews>
    <sheetView tabSelected="1" workbookViewId="0">
      <selection activeCell="A6" sqref="A6"/>
    </sheetView>
  </sheetViews>
  <sheetFormatPr defaultRowHeight="14.5" x14ac:dyDescent="0.35"/>
  <cols>
    <col min="1" max="1" width="13.36328125" customWidth="1"/>
    <col min="2" max="2" width="14.453125" customWidth="1"/>
    <col min="3" max="3" width="14.54296875" customWidth="1"/>
  </cols>
  <sheetData>
    <row r="1" spans="1:3" x14ac:dyDescent="0.35">
      <c r="A1" s="4" t="s">
        <v>3</v>
      </c>
      <c r="B1" s="4" t="s">
        <v>32</v>
      </c>
      <c r="C1" s="4" t="s">
        <v>33</v>
      </c>
    </row>
    <row r="2" spans="1:3" x14ac:dyDescent="0.35">
      <c r="A2" s="4" t="s">
        <v>17</v>
      </c>
      <c r="B2" s="4" t="s">
        <v>34</v>
      </c>
      <c r="C2" s="4" t="s">
        <v>35</v>
      </c>
    </row>
    <row r="3" spans="1:3" x14ac:dyDescent="0.35">
      <c r="A3" s="4" t="s">
        <v>18</v>
      </c>
      <c r="B3" s="4" t="s">
        <v>36</v>
      </c>
      <c r="C3" s="4" t="s">
        <v>43</v>
      </c>
    </row>
    <row r="4" spans="1:3" x14ac:dyDescent="0.35">
      <c r="A4" s="4" t="s">
        <v>19</v>
      </c>
      <c r="B4" s="4" t="s">
        <v>37</v>
      </c>
      <c r="C4" s="4" t="s">
        <v>38</v>
      </c>
    </row>
    <row r="5" spans="1:3" x14ac:dyDescent="0.35">
      <c r="A5" s="4" t="s">
        <v>20</v>
      </c>
      <c r="B5" s="4" t="s">
        <v>39</v>
      </c>
      <c r="C5" s="4" t="s">
        <v>40</v>
      </c>
    </row>
    <row r="6" spans="1:3" x14ac:dyDescent="0.35">
      <c r="A6" s="4" t="s">
        <v>21</v>
      </c>
      <c r="B6" s="4" t="s">
        <v>41</v>
      </c>
      <c r="C6" s="4" t="s">
        <v>42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facturi pe partener</vt:lpstr>
      <vt:lpstr>Achizitii vs Vanzari</vt:lpstr>
      <vt:lpstr>Facturi achitate</vt:lpstr>
      <vt:lpstr>TVA pe tip</vt:lpstr>
      <vt:lpstr>Facturi</vt:lpstr>
      <vt:lpstr>Total</vt:lpstr>
      <vt:lpstr>Parteneri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IULIA-ELENA STOIA</dc:creator>
  <cp:lastModifiedBy>IULIA-ELENA STOIA</cp:lastModifiedBy>
  <dcterms:created xsi:type="dcterms:W3CDTF">2026-07-03T17:02:55Z</dcterms:created>
  <dcterms:modified xsi:type="dcterms:W3CDTF">2026-07-18T17:34:00Z</dcterms:modified>
</cp:coreProperties>
</file>